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4ED7B6B-C6DE-4905-96C5-5D195F262A0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6" i="3" l="1"/>
  <c r="E9" i="3"/>
  <c r="E35" i="3"/>
  <c r="J34" i="3"/>
  <c r="E34" i="3"/>
  <c r="J33" i="3"/>
  <c r="J32" i="3"/>
  <c r="E32" i="3"/>
  <c r="J31" i="3"/>
  <c r="E31" i="3"/>
  <c r="J30" i="3"/>
  <c r="E30" i="3"/>
  <c r="J29" i="3"/>
  <c r="E29" i="3"/>
  <c r="J28" i="3"/>
  <c r="E28" i="3"/>
  <c r="J27" i="3"/>
  <c r="E27" i="3"/>
  <c r="J26" i="3"/>
  <c r="E26" i="3"/>
  <c r="J25" i="3"/>
  <c r="E25" i="3"/>
  <c r="J24" i="3"/>
  <c r="E24" i="3"/>
  <c r="J23" i="3"/>
  <c r="E23" i="3"/>
  <c r="J22" i="3"/>
  <c r="E22" i="3"/>
  <c r="J21" i="3"/>
  <c r="E21" i="3"/>
  <c r="J20" i="3"/>
  <c r="E20" i="3"/>
  <c r="J19" i="3"/>
  <c r="E19" i="3"/>
  <c r="J18" i="3"/>
  <c r="E18" i="3"/>
  <c r="J17" i="3"/>
  <c r="E17" i="3"/>
  <c r="J16" i="3"/>
  <c r="E16" i="3"/>
  <c r="J15" i="3"/>
  <c r="E15" i="3"/>
  <c r="J14" i="3"/>
  <c r="E14" i="3"/>
  <c r="J13" i="3"/>
  <c r="E13" i="3"/>
  <c r="J12" i="3"/>
  <c r="E12" i="3"/>
  <c r="J11" i="3"/>
  <c r="E11" i="3"/>
  <c r="J10" i="3"/>
  <c r="E10" i="3"/>
  <c r="J9" i="3"/>
  <c r="J8" i="3"/>
  <c r="E8" i="3"/>
  <c r="J7" i="3"/>
  <c r="E7" i="3"/>
  <c r="J6" i="3"/>
  <c r="E6" i="3"/>
  <c r="J5" i="3"/>
  <c r="E5" i="3"/>
  <c r="J4" i="3"/>
  <c r="E4" i="3"/>
  <c r="J3" i="3"/>
  <c r="J2" i="3"/>
  <c r="E33" i="3"/>
  <c r="E3" i="3"/>
  <c r="E2" i="3"/>
  <c r="L10" i="3"/>
  <c r="L11" i="3"/>
  <c r="L5" i="3"/>
  <c r="L7" i="3"/>
  <c r="J3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25" i="3"/>
  <c r="H26" i="3"/>
  <c r="H27" i="3"/>
  <c r="H28" i="3"/>
  <c r="H29" i="3"/>
  <c r="H30" i="3"/>
  <c r="H31" i="3"/>
  <c r="H32" i="3"/>
  <c r="H33" i="3"/>
  <c r="H34" i="3"/>
  <c r="H3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" i="3"/>
  <c r="L9" i="3"/>
  <c r="L8" i="3"/>
</calcChain>
</file>

<file path=xl/sharedStrings.xml><?xml version="1.0" encoding="utf-8"?>
<sst xmlns="http://schemas.openxmlformats.org/spreadsheetml/2006/main" count="323" uniqueCount="132">
  <si>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</si>
  <si>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</si>
  <si>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</si>
  <si>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</si>
  <si>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</si>
  <si>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</si>
  <si>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</si>
  <si>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</si>
  <si>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</si>
  <si>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</si>
  <si>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</si>
  <si>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</si>
  <si>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</si>
  <si>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</si>
  <si>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</si>
  <si>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</si>
  <si>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</si>
  <si>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</si>
  <si>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</si>
  <si>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</si>
  <si>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</si>
  <si>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</si>
  <si>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</si>
  <si>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</si>
  <si>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</si>
  <si>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</si>
  <si>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</si>
  <si>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</si>
  <si>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</si>
  <si>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</si>
  <si>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</si>
  <si>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</si>
  <si>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</si>
  <si>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</si>
  <si>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</si>
  <si>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</si>
  <si>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</si>
  <si>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</si>
  <si>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</si>
  <si>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</si>
  <si>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</si>
  <si>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</si>
  <si>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</si>
  <si>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</si>
  <si>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</si>
  <si>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</si>
  <si>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</si>
  <si>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</si>
  <si>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</si>
  <si>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</si>
  <si>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</si>
  <si>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</si>
  <si>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</si>
  <si>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</si>
  <si>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</si>
  <si>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</si>
  <si>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</si>
  <si>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</si>
  <si>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</si>
  <si>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</si>
  <si>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</si>
  <si>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</si>
  <si>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</si>
  <si>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</si>
  <si>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</si>
  <si>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</si>
  <si>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</si>
  <si>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</si>
  <si>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</si>
  <si>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</si>
  <si>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</si>
  <si>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</si>
  <si>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</si>
  <si>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</si>
  <si>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</si>
  <si>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</si>
  <si>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</si>
  <si>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</si>
  <si>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</si>
  <si>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</si>
  <si>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</si>
  <si>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</si>
  <si>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</si>
  <si>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</si>
  <si>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</si>
  <si>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</si>
  <si>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</si>
  <si>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</si>
  <si>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</si>
  <si>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</si>
  <si>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</si>
  <si>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</si>
  <si>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</si>
  <si>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</si>
  <si>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</si>
  <si>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</si>
  <si>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</si>
  <si>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</si>
  <si>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</si>
  <si>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</si>
  <si>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</si>
  <si>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</si>
  <si>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</si>
  <si>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</si>
  <si>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</si>
  <si>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</si>
  <si>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</si>
  <si>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</si>
  <si>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</si>
  <si>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</si>
  <si>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Operation</t>
  </si>
  <si>
    <t>Answer</t>
  </si>
  <si>
    <t>Sum(total price)</t>
  </si>
  <si>
    <t>Product(count)</t>
  </si>
  <si>
    <t>Average(price)</t>
  </si>
  <si>
    <t>Minimum(product price)</t>
  </si>
  <si>
    <t>Maximum(product price)</t>
  </si>
  <si>
    <t>Price Range</t>
  </si>
  <si>
    <t xml:space="preserve">Sum IF(total price in elec
tronics)
</t>
  </si>
  <si>
    <t>Count If(product cont which price less than 100)</t>
  </si>
  <si>
    <t>Day with first two charecters</t>
  </si>
  <si>
    <t>SUM:Adds numbers together</t>
  </si>
  <si>
    <t>AVERAGE: :Calculate average of numbers</t>
  </si>
  <si>
    <t>COUNTA:Counts cell that are not empty</t>
  </si>
  <si>
    <t>MIN:Find the lowest value</t>
  </si>
  <si>
    <t>MAX:Find the highest  value</t>
  </si>
  <si>
    <t>SUMIF:Add values that meets a specified condition</t>
  </si>
  <si>
    <t>COUNTIF:Counts cell that meet a specific condition</t>
  </si>
  <si>
    <t>IF:Checks a condition and returns a result based on whether it is TRUE or FALSE</t>
  </si>
  <si>
    <t>Definition</t>
  </si>
  <si>
    <t>Country Code</t>
  </si>
  <si>
    <t xml:space="preserve">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</si>
</sst>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5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9"/>
      <name val="Arial"/>
      <family val="2"/>
      <scheme val="minor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39997558519241921"/>
        <bgColor rgb="FF4DD0E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rgb="FF4DD0E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5" borderId="0" xfId="0" applyFill="1"/>
    <xf numFmtId="0" fontId="7" fillId="5" borderId="0" xfId="0" applyFont="1" applyFill="1"/>
    <xf numFmtId="0" fontId="8" fillId="5" borderId="0" xfId="0" applyFont="1" applyFill="1"/>
    <xf numFmtId="0" fontId="9" fillId="5" borderId="0" xfId="0" applyFont="1" applyFill="1"/>
    <xf numFmtId="0" fontId="10" fillId="6" borderId="0" xfId="0" applyFont="1" applyFill="1" applyAlignment="1">
      <alignment horizontal="center"/>
    </xf>
    <xf numFmtId="0" fontId="6" fillId="7" borderId="0" xfId="0" applyFont="1" applyFill="1"/>
    <xf numFmtId="0" fontId="0" fillId="7" borderId="0" xfId="0" applyFill="1"/>
    <xf numFmtId="0" fontId="9" fillId="5" borderId="0" xfId="0" applyFont="1" applyFill="1" applyAlignment="1">
      <alignment horizontal="left" vertical="top"/>
    </xf>
    <xf numFmtId="0" fontId="5" fillId="8" borderId="1" xfId="0" applyFont="1" applyFill="1" applyBorder="1" applyAlignment="1">
      <alignment horizontal="center"/>
    </xf>
    <xf numFmtId="0" fontId="6" fillId="9" borderId="1" xfId="0" applyFont="1" applyFill="1" applyBorder="1"/>
    <xf numFmtId="0" fontId="0" fillId="10" borderId="0" xfId="0" applyFill="1"/>
    <xf numFmtId="2" fontId="0" fillId="10" borderId="0" xfId="0" applyNumberFormat="1" applyFill="1"/>
    <xf numFmtId="0" fontId="11" fillId="5" borderId="0" xfId="0" applyFont="1" applyFill="1"/>
    <xf numFmtId="0" fontId="12" fillId="0" borderId="0" xfId="0" applyFont="1"/>
    <xf numFmtId="0" fontId="10" fillId="8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0" fillId="11" borderId="0" xfId="0" applyFill="1" applyAlignment="1">
      <alignment horizontal="left"/>
    </xf>
  </cellXfs>
  <cellStyles count="1">
    <cellStyle name="Normal" xfId="0" builtinId="0"/>
  </cellStyles>
  <dxfs count="5">
    <dxf>
      <fill>
        <patternFill patternType="solid">
          <fgColor indexed="64"/>
          <bgColor theme="2" tint="-4.9989318521683403E-2"/>
        </patternFill>
      </fill>
    </dxf>
    <dxf>
      <fill>
        <patternFill patternType="solid">
          <fgColor indexed="64"/>
          <bgColor theme="2" tint="-4.9989318521683403E-2"/>
        </patternFill>
      </fill>
    </dxf>
    <dxf>
      <fill>
        <patternFill patternType="solid">
          <fgColor indexed="64"/>
          <bgColor theme="2" tint="-4.9989318521683403E-2"/>
        </patternFill>
      </fill>
    </dxf>
    <dxf>
      <fill>
        <patternFill patternType="solid">
          <fgColor indexed="64"/>
          <bgColor theme="2" tint="-4.9989318521683403E-2"/>
        </patternFill>
      </fill>
    </dxf>
    <dxf>
      <fill>
        <patternFill patternType="solid">
          <fgColor indexed="64"/>
          <bgColor theme="2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C81C32-97CF-45D9-89C4-3C968FFC0992}" name="Table3" displayName="Table3" ref="K4:M20" totalsRowShown="0" headerRowDxfId="4" dataDxfId="3">
  <autoFilter ref="K4:M20" xr:uid="{E0C81C32-97CF-45D9-89C4-3C968FFC0992}"/>
  <tableColumns count="3">
    <tableColumn id="1" xr3:uid="{751E8491-E1DD-465F-B9A4-BF62E784AEC0}" name="Operation" dataDxfId="2"/>
    <tableColumn id="2" xr3:uid="{B3A798A9-9D84-479A-A2BA-74850CCAF2EB}" name="Answer" dataDxfId="1"/>
    <tableColumn id="3" xr3:uid="{10088E36-C8E6-4264-9B20-D778D22B5513}" name="Defin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zoomScale="84" zoomScaleNormal="84" workbookViewId="0">
      <selection activeCell="C22" sqref="C22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23" t="s">
        <v>15</v>
      </c>
    </row>
    <row r="22" spans="2:3" ht="15.75" customHeight="1" x14ac:dyDescent="0.35">
      <c r="C22" s="2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zoomScale="62" zoomScaleNormal="62" workbookViewId="0">
      <selection activeCell="C42" sqref="C42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E82C-BC4C-4924-B945-C1BF477C0C60}">
  <dimension ref="A1:R1000"/>
  <sheetViews>
    <sheetView tabSelected="1" topLeftCell="G1" workbookViewId="0">
      <selection activeCell="O4" sqref="O4"/>
    </sheetView>
  </sheetViews>
  <sheetFormatPr defaultColWidth="12.6328125" defaultRowHeight="12.5" x14ac:dyDescent="0.25"/>
  <cols>
    <col min="2" max="2" width="14.08984375" customWidth="1"/>
    <col min="5" max="5" width="12.6328125" style="16"/>
    <col min="8" max="8" width="27.36328125" customWidth="1"/>
    <col min="10" max="10" width="12.6328125" customWidth="1"/>
    <col min="11" max="11" width="38.6328125" customWidth="1"/>
  </cols>
  <sheetData>
    <row r="1" spans="1:18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14" t="s">
        <v>117</v>
      </c>
      <c r="F1" s="5" t="s">
        <v>21</v>
      </c>
      <c r="G1" s="5" t="s">
        <v>22</v>
      </c>
      <c r="H1" s="18" t="s">
        <v>120</v>
      </c>
      <c r="I1" s="24" t="s">
        <v>130</v>
      </c>
      <c r="J1" s="25" t="s">
        <v>131</v>
      </c>
    </row>
    <row r="2" spans="1:18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15" t="str">
        <f>IF(D2&gt;500,"High Price","Standard Price")</f>
        <v>High Price</v>
      </c>
      <c r="F2" s="7">
        <v>30</v>
      </c>
      <c r="G2" s="7" t="s">
        <v>26</v>
      </c>
      <c r="H2" s="19" t="str">
        <f>LEFT(A2,2)</f>
        <v>28</v>
      </c>
      <c r="I2" s="19" t="str">
        <f>RIGHT(A2,2)</f>
        <v>US</v>
      </c>
      <c r="J2" s="19" t="str">
        <f>MID(A2,4,3)</f>
        <v>JAN</v>
      </c>
    </row>
    <row r="3" spans="1:18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15" t="str">
        <f>IF(D3&gt;500,"High Price","Standard Price")</f>
        <v>Standard Price</v>
      </c>
      <c r="F3" s="8">
        <v>15</v>
      </c>
      <c r="G3" s="8" t="s">
        <v>30</v>
      </c>
      <c r="H3" s="19" t="str">
        <f t="shared" ref="H3:H35" si="0">LEFT(A3,2)</f>
        <v>15</v>
      </c>
      <c r="I3" s="19" t="str">
        <f t="shared" ref="I3:I35" si="1">RIGHT(A3,2)</f>
        <v>US</v>
      </c>
      <c r="J3" s="19" t="str">
        <f>MID(A3,4,3)</f>
        <v>FEB</v>
      </c>
    </row>
    <row r="4" spans="1:18" ht="15.75" customHeight="1" x14ac:dyDescent="0.3">
      <c r="A4" s="7" t="s">
        <v>31</v>
      </c>
      <c r="B4" s="7" t="s">
        <v>32</v>
      </c>
      <c r="C4" s="7" t="s">
        <v>33</v>
      </c>
      <c r="D4" s="7">
        <v>130</v>
      </c>
      <c r="E4" s="15" t="str">
        <f>IF(D4&gt;500,"High Price","Standard Price")</f>
        <v>Standard Price</v>
      </c>
      <c r="F4" s="7">
        <v>40</v>
      </c>
      <c r="G4" s="7" t="s">
        <v>34</v>
      </c>
      <c r="H4" s="19" t="str">
        <f t="shared" si="0"/>
        <v>03</v>
      </c>
      <c r="I4" s="19" t="str">
        <f t="shared" si="1"/>
        <v>US</v>
      </c>
      <c r="J4" s="19" t="str">
        <f>MID(A4,4,3)</f>
        <v>MAR</v>
      </c>
      <c r="K4" s="11" t="s">
        <v>110</v>
      </c>
      <c r="L4" s="12" t="s">
        <v>111</v>
      </c>
      <c r="M4" s="22" t="s">
        <v>129</v>
      </c>
    </row>
    <row r="5" spans="1:18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15" t="str">
        <f>IF(D5&gt;500,"High Price","Standard Price")</f>
        <v>High Price</v>
      </c>
      <c r="F5" s="8">
        <v>25</v>
      </c>
      <c r="G5" s="8" t="s">
        <v>26</v>
      </c>
      <c r="H5" s="19" t="str">
        <f t="shared" si="0"/>
        <v>11</v>
      </c>
      <c r="I5" s="19" t="str">
        <f t="shared" si="1"/>
        <v>US</v>
      </c>
      <c r="J5" s="19" t="str">
        <f>MID(A5,4,3)</f>
        <v>APR</v>
      </c>
      <c r="K5" s="13" t="s">
        <v>112</v>
      </c>
      <c r="L5" s="20">
        <f>SUM(D2:D35)</f>
        <v>10100</v>
      </c>
      <c r="M5" s="26" t="s">
        <v>121</v>
      </c>
      <c r="N5" s="26"/>
      <c r="O5" s="26"/>
      <c r="P5" s="26"/>
      <c r="Q5" s="26"/>
      <c r="R5" s="26"/>
    </row>
    <row r="6" spans="1:18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15" t="str">
        <f>IF(D6&gt;500,"High Price","Standard Price")</f>
        <v>Standard Price</v>
      </c>
      <c r="F6" s="7">
        <v>20</v>
      </c>
      <c r="G6" s="7" t="s">
        <v>41</v>
      </c>
      <c r="H6" s="19" t="str">
        <f t="shared" si="0"/>
        <v>22</v>
      </c>
      <c r="I6" s="19" t="str">
        <f t="shared" si="1"/>
        <v>US</v>
      </c>
      <c r="J6" s="19" t="str">
        <f>MID(A6,4,3)</f>
        <v>MAY</v>
      </c>
      <c r="K6" s="13" t="s">
        <v>113</v>
      </c>
      <c r="L6" s="20">
        <f>COUNTA(B2:B35)</f>
        <v>34</v>
      </c>
      <c r="M6" s="26" t="s">
        <v>123</v>
      </c>
      <c r="N6" s="26"/>
      <c r="O6" s="26"/>
      <c r="P6" s="26"/>
      <c r="Q6" s="26"/>
      <c r="R6" s="26"/>
    </row>
    <row r="7" spans="1:18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15" t="str">
        <f>IF(D7&gt;500,"High Price","Standard Price")</f>
        <v>Standard Price</v>
      </c>
      <c r="F7" s="8">
        <v>45</v>
      </c>
      <c r="G7" s="8" t="s">
        <v>26</v>
      </c>
      <c r="H7" s="19" t="str">
        <f t="shared" si="0"/>
        <v>07</v>
      </c>
      <c r="I7" s="19" t="str">
        <f t="shared" si="1"/>
        <v>UK</v>
      </c>
      <c r="J7" s="19" t="str">
        <f>MID(A7,4,3)</f>
        <v>JUN</v>
      </c>
      <c r="K7" s="13" t="s">
        <v>114</v>
      </c>
      <c r="L7" s="21">
        <f>AVERAGE(D2:D35)</f>
        <v>297.05882352941177</v>
      </c>
      <c r="M7" s="26" t="s">
        <v>122</v>
      </c>
      <c r="N7" s="26"/>
      <c r="O7" s="26"/>
      <c r="P7" s="26"/>
      <c r="Q7" s="26"/>
      <c r="R7" s="26"/>
    </row>
    <row r="8" spans="1:18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15" t="str">
        <f>IF(D8&gt;500,"High Price","Standard Price")</f>
        <v>Standard Price</v>
      </c>
      <c r="F8" s="7">
        <v>5</v>
      </c>
      <c r="G8" s="7" t="s">
        <v>30</v>
      </c>
      <c r="H8" s="19" t="str">
        <f t="shared" si="0"/>
        <v>19</v>
      </c>
      <c r="I8" s="19" t="str">
        <f t="shared" si="1"/>
        <v>UK</v>
      </c>
      <c r="J8" s="19" t="str">
        <f>MID(A8,4,3)</f>
        <v>JUL</v>
      </c>
      <c r="K8" s="13" t="s">
        <v>115</v>
      </c>
      <c r="L8" s="20">
        <f>MIN(D2:D35)</f>
        <v>30</v>
      </c>
      <c r="M8" s="26" t="s">
        <v>124</v>
      </c>
      <c r="N8" s="26"/>
      <c r="O8" s="26"/>
      <c r="P8" s="26"/>
      <c r="Q8" s="26"/>
      <c r="R8" s="26"/>
    </row>
    <row r="9" spans="1:18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15" t="str">
        <f>IF(D9&gt;500,"High Price","Standard Price")</f>
        <v>Standard Price</v>
      </c>
      <c r="F9" s="8">
        <v>35</v>
      </c>
      <c r="G9" s="8" t="s">
        <v>34</v>
      </c>
      <c r="H9" s="19" t="str">
        <f t="shared" si="0"/>
        <v>23</v>
      </c>
      <c r="I9" s="19" t="str">
        <f t="shared" si="1"/>
        <v>UK</v>
      </c>
      <c r="J9" s="19" t="str">
        <f>MID(A9,4,3)</f>
        <v>AUG</v>
      </c>
      <c r="K9" s="13" t="s">
        <v>116</v>
      </c>
      <c r="L9" s="20">
        <f>MAX(D2:D35)</f>
        <v>1000</v>
      </c>
      <c r="M9" s="26" t="s">
        <v>125</v>
      </c>
      <c r="N9" s="26"/>
      <c r="O9" s="26"/>
      <c r="P9" s="26"/>
      <c r="Q9" s="26"/>
      <c r="R9" s="26"/>
    </row>
    <row r="10" spans="1:18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15" t="str">
        <f>IF(D10&gt;500,"High Price","Standard Price")</f>
        <v>Standard Price</v>
      </c>
      <c r="F10" s="7">
        <v>50</v>
      </c>
      <c r="G10" s="7" t="s">
        <v>26</v>
      </c>
      <c r="H10" s="19" t="str">
        <f t="shared" si="0"/>
        <v>05</v>
      </c>
      <c r="I10" s="19" t="str">
        <f t="shared" si="1"/>
        <v>UK</v>
      </c>
      <c r="J10" s="19" t="str">
        <f>MID(A10,4,3)</f>
        <v>SEP</v>
      </c>
      <c r="K10" s="17" t="s">
        <v>118</v>
      </c>
      <c r="L10" s="20">
        <f>SUMIF(G2:G35,"Electronics",D2:D35)</f>
        <v>8050</v>
      </c>
      <c r="M10" s="26" t="s">
        <v>126</v>
      </c>
      <c r="N10" s="26"/>
      <c r="O10" s="26"/>
      <c r="P10" s="26"/>
      <c r="Q10" s="26"/>
      <c r="R10" s="26"/>
    </row>
    <row r="11" spans="1:18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15" t="str">
        <f>IF(D11&gt;500,"High Price","Standard Price")</f>
        <v>Standard Price</v>
      </c>
      <c r="F11" s="8">
        <v>10</v>
      </c>
      <c r="G11" s="8" t="s">
        <v>41</v>
      </c>
      <c r="H11" s="19" t="str">
        <f t="shared" si="0"/>
        <v>14</v>
      </c>
      <c r="I11" s="19" t="str">
        <f t="shared" si="1"/>
        <v>UK</v>
      </c>
      <c r="J11" s="19" t="str">
        <f>MID(A11,4,3)</f>
        <v>OCT</v>
      </c>
      <c r="K11" s="10" t="s">
        <v>119</v>
      </c>
      <c r="L11" s="20">
        <f>COUNTIF(D2:D35,"&lt;100")</f>
        <v>11</v>
      </c>
      <c r="M11" s="26" t="s">
        <v>127</v>
      </c>
      <c r="N11" s="26"/>
      <c r="O11" s="26"/>
      <c r="P11" s="26"/>
      <c r="Q11" s="26"/>
      <c r="R11" s="26"/>
    </row>
    <row r="12" spans="1:18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15" t="str">
        <f>IF(D12&gt;500,"High Price","Standard Price")</f>
        <v>High Price</v>
      </c>
      <c r="F12" s="7">
        <v>25</v>
      </c>
      <c r="G12" s="7" t="s">
        <v>26</v>
      </c>
      <c r="H12" s="19" t="str">
        <f t="shared" si="0"/>
        <v>17</v>
      </c>
      <c r="I12" s="19" t="str">
        <f t="shared" si="1"/>
        <v>IN</v>
      </c>
      <c r="J12" s="19" t="str">
        <f>MID(A12,4,3)</f>
        <v>JUN</v>
      </c>
      <c r="K12" s="10"/>
      <c r="L12" s="20"/>
      <c r="M12" s="26" t="s">
        <v>128</v>
      </c>
      <c r="N12" s="26"/>
      <c r="O12" s="26"/>
      <c r="P12" s="26"/>
      <c r="Q12" s="26"/>
      <c r="R12" s="26"/>
    </row>
    <row r="13" spans="1:18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15" t="str">
        <f>IF(D13&gt;500,"High Price","Standard Price")</f>
        <v>Standard Price</v>
      </c>
      <c r="F13" s="8">
        <v>40</v>
      </c>
      <c r="G13" s="8" t="s">
        <v>30</v>
      </c>
      <c r="H13" s="19" t="str">
        <f t="shared" si="0"/>
        <v>25</v>
      </c>
      <c r="I13" s="19" t="str">
        <f t="shared" si="1"/>
        <v>AU</v>
      </c>
      <c r="J13" s="19" t="str">
        <f>MID(A13,4,3)</f>
        <v>NOV</v>
      </c>
      <c r="K13" s="10"/>
      <c r="L13" s="10"/>
      <c r="M13" s="10"/>
    </row>
    <row r="14" spans="1:18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15" t="str">
        <f>IF(D14&gt;500,"High Price","Standard Price")</f>
        <v>Standard Price</v>
      </c>
      <c r="F14" s="7">
        <v>35</v>
      </c>
      <c r="G14" s="7" t="s">
        <v>34</v>
      </c>
      <c r="H14" s="19" t="str">
        <f t="shared" si="0"/>
        <v>08</v>
      </c>
      <c r="I14" s="19" t="str">
        <f t="shared" si="1"/>
        <v>DE</v>
      </c>
      <c r="J14" s="19" t="str">
        <f>MID(A14,4,3)</f>
        <v>DEC</v>
      </c>
      <c r="K14" s="10"/>
      <c r="L14" s="10"/>
      <c r="M14" s="10"/>
    </row>
    <row r="15" spans="1:18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15" t="str">
        <f>IF(D15&gt;500,"High Price","Standard Price")</f>
        <v>Standard Price</v>
      </c>
      <c r="F15" s="8">
        <v>15</v>
      </c>
      <c r="G15" s="8" t="s">
        <v>26</v>
      </c>
      <c r="H15" s="19" t="str">
        <f t="shared" si="0"/>
        <v>18</v>
      </c>
      <c r="I15" s="19" t="str">
        <f t="shared" si="1"/>
        <v>CA</v>
      </c>
      <c r="J15" s="19" t="str">
        <f>MID(A15,4,3)</f>
        <v>FEB</v>
      </c>
      <c r="K15" s="10"/>
      <c r="L15" s="10"/>
      <c r="M15" s="10"/>
    </row>
    <row r="16" spans="1:18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15" t="str">
        <f>IF(D16&gt;500,"High Price","Standard Price")</f>
        <v>Standard Price</v>
      </c>
      <c r="F16" s="7">
        <v>20</v>
      </c>
      <c r="G16" s="7" t="s">
        <v>26</v>
      </c>
      <c r="H16" s="19" t="str">
        <f t="shared" si="0"/>
        <v>16</v>
      </c>
      <c r="I16" s="19" t="str">
        <f t="shared" si="1"/>
        <v>ES</v>
      </c>
      <c r="J16" s="19" t="str">
        <f>MID(A16,4,3)</f>
        <v>APR</v>
      </c>
      <c r="K16" s="10"/>
      <c r="L16" s="10"/>
      <c r="M16" s="10"/>
    </row>
    <row r="17" spans="1:13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15" t="str">
        <f>IF(D17&gt;500,"High Price","Standard Price")</f>
        <v>Standard Price</v>
      </c>
      <c r="F17" s="8">
        <v>35</v>
      </c>
      <c r="G17" s="8" t="s">
        <v>70</v>
      </c>
      <c r="H17" s="19" t="str">
        <f t="shared" si="0"/>
        <v>21</v>
      </c>
      <c r="I17" s="19" t="str">
        <f t="shared" si="1"/>
        <v>CA</v>
      </c>
      <c r="J17" s="19" t="str">
        <f>MID(A17,4,3)</f>
        <v>AUG</v>
      </c>
      <c r="K17" s="10"/>
      <c r="L17" s="10"/>
      <c r="M17" s="10"/>
    </row>
    <row r="18" spans="1:13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15" t="str">
        <f>IF(D18&gt;500,"High Price","Standard Price")</f>
        <v>Standard Price</v>
      </c>
      <c r="F18" s="7">
        <v>15</v>
      </c>
      <c r="G18" s="7" t="s">
        <v>26</v>
      </c>
      <c r="H18" s="19" t="str">
        <f t="shared" si="0"/>
        <v>20</v>
      </c>
      <c r="I18" s="19" t="str">
        <f t="shared" si="1"/>
        <v>CN</v>
      </c>
      <c r="J18" s="19" t="str">
        <f>MID(A18,4,3)</f>
        <v>AUG</v>
      </c>
      <c r="K18" s="10"/>
      <c r="L18" s="10"/>
      <c r="M18" s="10"/>
    </row>
    <row r="19" spans="1:13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15" t="str">
        <f>IF(D19&gt;500,"High Price","Standard Price")</f>
        <v>High Price</v>
      </c>
      <c r="F19" s="8">
        <v>10</v>
      </c>
      <c r="G19" s="8" t="s">
        <v>26</v>
      </c>
      <c r="H19" s="19" t="str">
        <f t="shared" si="0"/>
        <v>27</v>
      </c>
      <c r="I19" s="19" t="str">
        <f t="shared" si="1"/>
        <v>IT</v>
      </c>
      <c r="J19" s="19" t="str">
        <f>MID(A19,4,3)</f>
        <v>JAN</v>
      </c>
      <c r="K19" s="10"/>
      <c r="L19" s="10"/>
      <c r="M19" s="10"/>
    </row>
    <row r="20" spans="1:13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15" t="str">
        <f>IF(D20&gt;500,"High Price","Standard Price")</f>
        <v>Standard Price</v>
      </c>
      <c r="F20" s="7">
        <v>15</v>
      </c>
      <c r="G20" s="7" t="s">
        <v>30</v>
      </c>
      <c r="H20" s="19" t="str">
        <f t="shared" si="0"/>
        <v>01</v>
      </c>
      <c r="I20" s="19" t="str">
        <f t="shared" si="1"/>
        <v>UK</v>
      </c>
      <c r="J20" s="19" t="str">
        <f>MID(A20,4,3)</f>
        <v>MAR</v>
      </c>
      <c r="K20" s="10"/>
      <c r="L20" s="10"/>
      <c r="M20" s="10"/>
    </row>
    <row r="21" spans="1:13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15" t="str">
        <f>IF(D21&gt;500,"High Price","Standard Price")</f>
        <v>Standard Price</v>
      </c>
      <c r="F21" s="8">
        <v>10</v>
      </c>
      <c r="G21" s="8" t="s">
        <v>41</v>
      </c>
      <c r="H21" s="19" t="str">
        <f t="shared" si="0"/>
        <v>14</v>
      </c>
      <c r="I21" s="19" t="str">
        <f t="shared" si="1"/>
        <v>US</v>
      </c>
      <c r="J21" s="19" t="str">
        <f>MID(A21,4,3)</f>
        <v>AUG</v>
      </c>
    </row>
    <row r="22" spans="1:13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15" t="str">
        <f>IF(D22&gt;500,"High Price","Standard Price")</f>
        <v>High Price</v>
      </c>
      <c r="F22" s="7">
        <v>50</v>
      </c>
      <c r="G22" s="7" t="s">
        <v>26</v>
      </c>
      <c r="H22" s="19" t="str">
        <f t="shared" si="0"/>
        <v>14</v>
      </c>
      <c r="I22" s="19" t="str">
        <f t="shared" si="1"/>
        <v>RU</v>
      </c>
      <c r="J22" s="19" t="str">
        <f>MID(A22,4,3)</f>
        <v>MAY</v>
      </c>
    </row>
    <row r="23" spans="1:13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15" t="str">
        <f>IF(D23&gt;500,"High Price","Standard Price")</f>
        <v>Standard Price</v>
      </c>
      <c r="F23" s="8">
        <v>20</v>
      </c>
      <c r="G23" s="8" t="s">
        <v>34</v>
      </c>
      <c r="H23" s="19" t="str">
        <f t="shared" si="0"/>
        <v>09</v>
      </c>
      <c r="I23" s="19" t="str">
        <f t="shared" si="1"/>
        <v>CA</v>
      </c>
      <c r="J23" s="19" t="str">
        <f>MID(A23,4,3)</f>
        <v>JAN</v>
      </c>
    </row>
    <row r="24" spans="1:13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15" t="str">
        <f>IF(D24&gt;500,"High Price","Standard Price")</f>
        <v>Standard Price</v>
      </c>
      <c r="F24" s="7">
        <v>30</v>
      </c>
      <c r="G24" s="7" t="s">
        <v>26</v>
      </c>
      <c r="H24" s="19" t="str">
        <f t="shared" si="0"/>
        <v>19</v>
      </c>
      <c r="I24" s="19" t="str">
        <f t="shared" si="1"/>
        <v>BR</v>
      </c>
      <c r="J24" s="19" t="str">
        <f>MID(A24,4,3)</f>
        <v>JUL</v>
      </c>
    </row>
    <row r="25" spans="1:13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15" t="str">
        <f>IF(D25&gt;500,"High Price","Standard Price")</f>
        <v>Standard Price</v>
      </c>
      <c r="F25" s="8">
        <v>35</v>
      </c>
      <c r="G25" s="8" t="s">
        <v>70</v>
      </c>
      <c r="H25" s="19" t="str">
        <f>LEFT(A25,2)</f>
        <v>21</v>
      </c>
      <c r="I25" s="19" t="str">
        <f t="shared" si="1"/>
        <v>CA</v>
      </c>
      <c r="J25" s="19" t="str">
        <f>MID(A25,4,3)</f>
        <v>AUG</v>
      </c>
    </row>
    <row r="26" spans="1:13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15" t="str">
        <f>IF(D26&gt;500,"High Price","Standard Price")</f>
        <v>High Price</v>
      </c>
      <c r="F26" s="7">
        <v>45</v>
      </c>
      <c r="G26" s="7" t="s">
        <v>26</v>
      </c>
      <c r="H26" s="19" t="str">
        <f t="shared" si="0"/>
        <v>29</v>
      </c>
      <c r="I26" s="19" t="str">
        <f t="shared" si="1"/>
        <v>CA</v>
      </c>
      <c r="J26" s="19" t="str">
        <f>MID(A26,4,3)</f>
        <v>SEP</v>
      </c>
    </row>
    <row r="27" spans="1:13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15" t="str">
        <f>IF(D27&gt;500,"High Price","Standard Price")</f>
        <v>Standard Price</v>
      </c>
      <c r="F27" s="8">
        <v>25</v>
      </c>
      <c r="G27" s="8" t="s">
        <v>30</v>
      </c>
      <c r="H27" s="19" t="str">
        <f t="shared" si="0"/>
        <v>03</v>
      </c>
      <c r="I27" s="19" t="str">
        <f t="shared" si="1"/>
        <v>CA</v>
      </c>
      <c r="J27" s="19" t="str">
        <f>MID(A27,4,3)</f>
        <v>JUN</v>
      </c>
    </row>
    <row r="28" spans="1:13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15" t="str">
        <f>IF(D28&gt;500,"High Price","Standard Price")</f>
        <v>Standard Price</v>
      </c>
      <c r="F28" s="7">
        <v>40</v>
      </c>
      <c r="G28" s="7" t="s">
        <v>34</v>
      </c>
      <c r="H28" s="19" t="str">
        <f t="shared" si="0"/>
        <v>11</v>
      </c>
      <c r="I28" s="19" t="str">
        <f t="shared" si="1"/>
        <v>CA</v>
      </c>
      <c r="J28" s="19" t="str">
        <f>MID(A28,4,3)</f>
        <v>JUL</v>
      </c>
    </row>
    <row r="29" spans="1:13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15" t="str">
        <f>IF(D29&gt;500,"High Price","Standard Price")</f>
        <v>Standard Price</v>
      </c>
      <c r="F29" s="8">
        <v>20</v>
      </c>
      <c r="G29" s="8" t="s">
        <v>26</v>
      </c>
      <c r="H29" s="19" t="str">
        <f t="shared" si="0"/>
        <v>16</v>
      </c>
      <c r="I29" s="19" t="str">
        <f t="shared" si="1"/>
        <v>ES</v>
      </c>
      <c r="J29" s="19" t="str">
        <f>MID(A29,4,3)</f>
        <v>APR</v>
      </c>
    </row>
    <row r="30" spans="1:13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15" t="str">
        <f>IF(D30&gt;500,"High Price","Standard Price")</f>
        <v>Standard Price</v>
      </c>
      <c r="F30" s="7">
        <v>30</v>
      </c>
      <c r="G30" s="7" t="s">
        <v>30</v>
      </c>
      <c r="H30" s="19" t="str">
        <f t="shared" si="0"/>
        <v>07</v>
      </c>
      <c r="I30" s="19" t="str">
        <f t="shared" si="1"/>
        <v>CA</v>
      </c>
      <c r="J30" s="19" t="str">
        <f>MID(A30,4,3)</f>
        <v>MAR</v>
      </c>
    </row>
    <row r="31" spans="1:13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15" t="str">
        <f>IF(D31&gt;500,"High Price","Standard Price")</f>
        <v>Standard Price</v>
      </c>
      <c r="F31" s="8">
        <v>10</v>
      </c>
      <c r="G31" s="8" t="s">
        <v>34</v>
      </c>
      <c r="H31" s="19" t="str">
        <f t="shared" si="0"/>
        <v>13</v>
      </c>
      <c r="I31" s="19" t="str">
        <f t="shared" si="1"/>
        <v>CA</v>
      </c>
      <c r="J31" s="19" t="str">
        <f>MID(A31,4,3)</f>
        <v>APR</v>
      </c>
    </row>
    <row r="32" spans="1:13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15" t="str">
        <f>IF(D32&gt;500,"High Price","Standard Price")</f>
        <v>Standard Price</v>
      </c>
      <c r="F32" s="7">
        <v>5</v>
      </c>
      <c r="G32" s="7" t="s">
        <v>26</v>
      </c>
      <c r="H32" s="19" t="str">
        <f t="shared" si="0"/>
        <v>24</v>
      </c>
      <c r="I32" s="19" t="str">
        <f t="shared" si="1"/>
        <v>CA</v>
      </c>
      <c r="J32" s="19" t="str">
        <f>MID(A32,4,3)</f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15" t="str">
        <f>IF(D33&gt;500,"High Price","Standard Price")</f>
        <v>Standard Price</v>
      </c>
      <c r="F33" s="8">
        <v>50</v>
      </c>
      <c r="G33" s="8" t="s">
        <v>30</v>
      </c>
      <c r="H33" s="19" t="str">
        <f t="shared" si="0"/>
        <v>02</v>
      </c>
      <c r="I33" s="19" t="str">
        <f t="shared" si="1"/>
        <v>CA</v>
      </c>
      <c r="J33" s="19" t="str">
        <f>MID(A33,4,3)</f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15" t="str">
        <f>IF(D34&gt;500,"High Price","Standard Price")</f>
        <v>High Price</v>
      </c>
      <c r="F34" s="7">
        <v>25</v>
      </c>
      <c r="G34" s="7" t="s">
        <v>26</v>
      </c>
      <c r="H34" s="19" t="str">
        <f t="shared" si="0"/>
        <v>17</v>
      </c>
      <c r="I34" s="19" t="str">
        <f t="shared" si="1"/>
        <v>IN</v>
      </c>
      <c r="J34" s="19" t="str">
        <f>MID(A34,4,3)</f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15" t="str">
        <f>IF(D35&gt;500,"High Price","Standard Price")</f>
        <v>Standard Price</v>
      </c>
      <c r="F35" s="8">
        <v>20</v>
      </c>
      <c r="G35" s="8" t="s">
        <v>70</v>
      </c>
      <c r="H35" s="19" t="str">
        <f t="shared" si="0"/>
        <v>09</v>
      </c>
      <c r="I35" s="19" t="str">
        <f t="shared" si="1"/>
        <v>FR</v>
      </c>
      <c r="J35" s="19" t="str">
        <f>MID(A35,4,3)</f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jaziya ashraf</cp:lastModifiedBy>
  <dcterms:modified xsi:type="dcterms:W3CDTF">2026-09-25T09:18:44Z</dcterms:modified>
</cp:coreProperties>
</file>